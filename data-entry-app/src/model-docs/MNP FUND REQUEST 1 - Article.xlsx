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abug\OneDrive\Desktop\mnp_ash\Project-MNP\data-entry-app\src\model-docs\"/>
    </mc:Choice>
  </mc:AlternateContent>
  <xr:revisionPtr revIDLastSave="0" documentId="13_ncr:1_{5FAD3CC6-BDE3-4592-BFD6-82E2B4785E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1" l="1"/>
  <c r="G18" i="1"/>
  <c r="G17" i="1"/>
  <c r="G16" i="1"/>
  <c r="G15" i="1"/>
  <c r="I14" i="1"/>
  <c r="G14" i="1"/>
  <c r="G13" i="1"/>
  <c r="H13" i="1" s="1"/>
  <c r="G12" i="1"/>
  <c r="G11" i="1"/>
  <c r="G10" i="1"/>
  <c r="G9" i="1"/>
  <c r="I8" i="1"/>
  <c r="G8" i="1"/>
  <c r="H20" i="1" l="1"/>
  <c r="I20" i="1" s="1"/>
  <c r="I21" i="1" s="1"/>
  <c r="I13" i="1"/>
  <c r="B34" i="2" l="1"/>
  <c r="A34" i="2"/>
</calcChain>
</file>

<file path=xl/sharedStrings.xml><?xml version="1.0" encoding="utf-8"?>
<sst xmlns="http://schemas.openxmlformats.org/spreadsheetml/2006/main" count="62" uniqueCount="39">
  <si>
    <t>ARTICLE NAME / INSTITUITION</t>
  </si>
  <si>
    <t>VALUE</t>
  </si>
  <si>
    <t>CUMULATIVE</t>
  </si>
  <si>
    <t>GRAND TOTAL</t>
  </si>
  <si>
    <t>CHEQUE (OR) RTGS  IN FAVOUR</t>
  </si>
  <si>
    <t>SL.NO</t>
  </si>
  <si>
    <t>GST NO. / PAN / BENEFICIARY</t>
  </si>
  <si>
    <t>OMSAKTHI</t>
  </si>
  <si>
    <t>DIST &amp; PUBLIC</t>
  </si>
  <si>
    <t>R.Surendranath,</t>
  </si>
  <si>
    <t xml:space="preserve">          JS - Social Welfare Activities</t>
  </si>
  <si>
    <t>BENIFICIARY</t>
  </si>
  <si>
    <t>UNIT</t>
  </si>
  <si>
    <t>PRICE INCLUDING GST</t>
  </si>
  <si>
    <t>QTY</t>
  </si>
  <si>
    <t>MERRIT TAYLOR SHEET METAL STAND</t>
  </si>
  <si>
    <t>33AFHPR6146J1Z6</t>
  </si>
  <si>
    <t>CHEQUE PAYMENT IN FAVOUR OF NAME : KAMALA AGENCIES, A/C No: 0029084000000046, IFSC: SIBL0000029, Branch:Kanchipuram</t>
  </si>
  <si>
    <t>His Holiness AMMA at Melmaruvathur on 03.03.2025</t>
  </si>
  <si>
    <t xml:space="preserve">Payment Request Details for MASM Social Welfare Programme on the eve of 85th  Birthday (03-03-2025) Celebrations of </t>
  </si>
  <si>
    <t>TOTAL</t>
  </si>
  <si>
    <t>2.PROFORMA INVOICE COPIES</t>
  </si>
  <si>
    <t>1. MASM PRESIDENT' S APPROVAL COPY Dt 16.12.2024</t>
  </si>
  <si>
    <t>MERRIT OVERLOCK  SHEET METAL</t>
  </si>
  <si>
    <t>MERIT UNIVERSAL FOOT</t>
  </si>
  <si>
    <t>MERIT TAYLOR HAND ATTACHMENT</t>
  </si>
  <si>
    <t>SINGER 1/12 MOTOR</t>
  </si>
  <si>
    <t>DIAMOND COOKER 1 LTR</t>
  </si>
  <si>
    <t>33APYPS9587D1ZX</t>
  </si>
  <si>
    <t>CHEQUE PAYMENT TO M/S SRI SAI METAL WARE</t>
  </si>
  <si>
    <t>BRASS IRON BOX</t>
  </si>
  <si>
    <t>ALUMINIUM IDLI BOX</t>
  </si>
  <si>
    <t>MS STOVE 2 BURNER</t>
  </si>
  <si>
    <t>BOSCH DRILL KIT GSB 500 (10 RE)</t>
  </si>
  <si>
    <t>33AEVPT0020J1ZF</t>
  </si>
  <si>
    <t>RTFS PAYMENT  TO M/S SRI AHALYA AGENCIES, AC/NO : 039505500926, IFSC CODE : ICIC0000395, Branch: Annanagar</t>
  </si>
  <si>
    <t>BOSCH DRILL KIT GSB 600 (13RE)</t>
  </si>
  <si>
    <t>GBH 220 ROTARY HAMMER</t>
  </si>
  <si>
    <t xml:space="preserve">Payment Request No:1   Dated 07-02-2025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</si>
</sst>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6"/>
  <sheetViews>
    <sheetView tabSelected="1" topLeftCell="C1" zoomScale="115" zoomScaleNormal="115" workbookViewId="0">
      <selection activeCell="A5" sqref="A5:J5"/>
    </sheetView>
  </sheetViews>
  <sheetFormatPr defaultRowHeight="14.5" x14ac:dyDescent="0.35"/>
  <cols>
    <col min="1" max="1" width="8.90625" style="26"/>
    <col min="2" max="2" width="16.54296875" bestFit="1" customWidth="1"/>
    <col min="3" max="3" width="39.90625" bestFit="1" customWidth="1"/>
    <col min="4" max="4" width="19.453125" customWidth="1"/>
    <col min="5" max="5" width="15" style="8" customWidth="1"/>
    <col min="6" max="6" width="10.453125" style="8" customWidth="1"/>
    <col min="7" max="7" width="13.6328125" style="8" customWidth="1"/>
    <col min="8" max="8" width="12.54296875" style="8" customWidth="1"/>
    <col min="9" max="9" width="15" style="8" customWidth="1"/>
    <col min="10" max="10" width="26.90625" customWidth="1"/>
  </cols>
  <sheetData>
    <row r="1" spans="1:10" ht="15.75" customHeight="1" x14ac:dyDescent="0.35">
      <c r="A1" s="37" t="s">
        <v>7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5.75" customHeight="1" x14ac:dyDescent="0.35">
      <c r="A2" s="38" t="s">
        <v>19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18.75" customHeight="1" x14ac:dyDescent="0.35">
      <c r="A3" s="38" t="s">
        <v>18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3.5" customHeight="1" x14ac:dyDescent="0.45">
      <c r="B4" s="9"/>
      <c r="C4" s="9"/>
      <c r="D4" s="9"/>
      <c r="E4" s="9"/>
      <c r="F4" s="9"/>
      <c r="G4" s="9"/>
      <c r="H4" s="9"/>
      <c r="I4" s="9"/>
      <c r="J4" s="5"/>
    </row>
    <row r="5" spans="1:10" ht="18.5" x14ac:dyDescent="0.45">
      <c r="A5" s="40" t="s">
        <v>38</v>
      </c>
      <c r="B5" s="40"/>
      <c r="C5" s="40"/>
      <c r="D5" s="40"/>
      <c r="E5" s="40"/>
      <c r="F5" s="40"/>
      <c r="G5" s="40"/>
      <c r="H5" s="40"/>
      <c r="I5" s="40"/>
      <c r="J5" s="40"/>
    </row>
    <row r="6" spans="1:10" ht="18.5" x14ac:dyDescent="0.45">
      <c r="A6" s="18"/>
      <c r="B6" s="10"/>
      <c r="C6" s="10"/>
      <c r="D6" s="10"/>
      <c r="E6" s="10"/>
      <c r="F6" s="10"/>
      <c r="G6" s="10"/>
      <c r="H6" s="10"/>
      <c r="I6" s="10"/>
      <c r="J6" s="10"/>
    </row>
    <row r="7" spans="1:10" ht="37.5" x14ac:dyDescent="0.35">
      <c r="A7" s="11" t="s">
        <v>5</v>
      </c>
      <c r="B7" s="3" t="s">
        <v>11</v>
      </c>
      <c r="C7" s="4" t="s">
        <v>0</v>
      </c>
      <c r="D7" s="4" t="s">
        <v>6</v>
      </c>
      <c r="E7" s="3" t="s">
        <v>14</v>
      </c>
      <c r="F7" s="4" t="s">
        <v>13</v>
      </c>
      <c r="G7" s="3" t="s">
        <v>1</v>
      </c>
      <c r="H7" s="3" t="s">
        <v>2</v>
      </c>
      <c r="I7" s="3" t="s">
        <v>3</v>
      </c>
      <c r="J7" s="4" t="s">
        <v>4</v>
      </c>
    </row>
    <row r="8" spans="1:10" ht="14.4" customHeight="1" x14ac:dyDescent="0.35">
      <c r="A8" s="11">
        <v>1</v>
      </c>
      <c r="B8" s="1" t="s">
        <v>8</v>
      </c>
      <c r="C8" s="13" t="s">
        <v>15</v>
      </c>
      <c r="D8" s="25" t="s">
        <v>16</v>
      </c>
      <c r="E8" s="14">
        <v>500</v>
      </c>
      <c r="F8" s="14">
        <v>5050</v>
      </c>
      <c r="G8" s="14">
        <f t="shared" ref="G8:G19" si="0">E8*F8</f>
        <v>2525000</v>
      </c>
      <c r="H8" s="34">
        <v>3025300</v>
      </c>
      <c r="I8" s="34">
        <f>H8</f>
        <v>3025300</v>
      </c>
      <c r="J8" s="27" t="s">
        <v>17</v>
      </c>
    </row>
    <row r="9" spans="1:10" ht="14.4" customHeight="1" x14ac:dyDescent="0.35">
      <c r="A9" s="11">
        <v>2</v>
      </c>
      <c r="B9" s="1" t="s">
        <v>8</v>
      </c>
      <c r="C9" s="13" t="s">
        <v>23</v>
      </c>
      <c r="D9" s="25" t="s">
        <v>16</v>
      </c>
      <c r="E9" s="14">
        <v>10</v>
      </c>
      <c r="F9" s="14">
        <v>7200</v>
      </c>
      <c r="G9" s="14">
        <f t="shared" si="0"/>
        <v>72000</v>
      </c>
      <c r="H9" s="35"/>
      <c r="I9" s="35"/>
      <c r="J9" s="28"/>
    </row>
    <row r="10" spans="1:10" ht="14.4" customHeight="1" x14ac:dyDescent="0.35">
      <c r="A10" s="11">
        <v>3</v>
      </c>
      <c r="B10" s="25" t="s">
        <v>8</v>
      </c>
      <c r="C10" s="15" t="s">
        <v>24</v>
      </c>
      <c r="D10" s="25" t="s">
        <v>16</v>
      </c>
      <c r="E10" s="14">
        <v>40</v>
      </c>
      <c r="F10" s="14">
        <v>9300</v>
      </c>
      <c r="G10" s="14">
        <f t="shared" si="0"/>
        <v>372000</v>
      </c>
      <c r="H10" s="35"/>
      <c r="I10" s="35"/>
      <c r="J10" s="28"/>
    </row>
    <row r="11" spans="1:10" ht="28.75" customHeight="1" x14ac:dyDescent="0.35">
      <c r="A11" s="11">
        <v>4</v>
      </c>
      <c r="B11" s="25" t="s">
        <v>8</v>
      </c>
      <c r="C11" s="15" t="s">
        <v>25</v>
      </c>
      <c r="D11" s="25" t="s">
        <v>16</v>
      </c>
      <c r="E11" s="14">
        <v>1</v>
      </c>
      <c r="F11" s="14">
        <v>4300</v>
      </c>
      <c r="G11" s="14">
        <f t="shared" si="0"/>
        <v>4300</v>
      </c>
      <c r="H11" s="35"/>
      <c r="I11" s="35"/>
      <c r="J11" s="28"/>
    </row>
    <row r="12" spans="1:10" ht="28.75" customHeight="1" x14ac:dyDescent="0.35">
      <c r="A12" s="11">
        <v>5</v>
      </c>
      <c r="B12" s="25" t="s">
        <v>8</v>
      </c>
      <c r="C12" s="15" t="s">
        <v>26</v>
      </c>
      <c r="D12" s="25" t="s">
        <v>16</v>
      </c>
      <c r="E12" s="14">
        <v>40</v>
      </c>
      <c r="F12" s="14">
        <v>1300</v>
      </c>
      <c r="G12" s="14">
        <f t="shared" si="0"/>
        <v>52000</v>
      </c>
      <c r="H12" s="36"/>
      <c r="I12" s="36"/>
      <c r="J12" s="29"/>
    </row>
    <row r="13" spans="1:10" ht="28.75" customHeight="1" x14ac:dyDescent="0.35">
      <c r="A13" s="11">
        <v>6</v>
      </c>
      <c r="B13" s="1" t="s">
        <v>8</v>
      </c>
      <c r="C13" s="13" t="s">
        <v>27</v>
      </c>
      <c r="D13" s="19" t="s">
        <v>28</v>
      </c>
      <c r="E13" s="14">
        <v>700</v>
      </c>
      <c r="F13" s="14">
        <v>1200</v>
      </c>
      <c r="G13" s="14">
        <f t="shared" si="0"/>
        <v>840000</v>
      </c>
      <c r="H13" s="21">
        <f>SUM(G13:G13)</f>
        <v>840000</v>
      </c>
      <c r="I13" s="21">
        <f>H13</f>
        <v>840000</v>
      </c>
      <c r="J13" s="22" t="s">
        <v>29</v>
      </c>
    </row>
    <row r="14" spans="1:10" ht="52.5" customHeight="1" x14ac:dyDescent="0.35">
      <c r="A14" s="11">
        <v>7</v>
      </c>
      <c r="B14" s="1" t="s">
        <v>8</v>
      </c>
      <c r="C14" s="13" t="s">
        <v>30</v>
      </c>
      <c r="D14" s="19" t="s">
        <v>28</v>
      </c>
      <c r="E14" s="14">
        <v>26</v>
      </c>
      <c r="F14" s="14">
        <v>6600</v>
      </c>
      <c r="G14" s="14">
        <f t="shared" si="0"/>
        <v>171600</v>
      </c>
      <c r="H14" s="34">
        <v>262800</v>
      </c>
      <c r="I14" s="34">
        <f>H14</f>
        <v>262800</v>
      </c>
      <c r="J14" s="27" t="s">
        <v>29</v>
      </c>
    </row>
    <row r="15" spans="1:10" ht="52.5" customHeight="1" x14ac:dyDescent="0.35">
      <c r="A15" s="11">
        <v>8</v>
      </c>
      <c r="B15" s="25" t="s">
        <v>8</v>
      </c>
      <c r="C15" s="13" t="s">
        <v>31</v>
      </c>
      <c r="D15" s="19" t="s">
        <v>28</v>
      </c>
      <c r="E15" s="14">
        <v>19</v>
      </c>
      <c r="F15" s="14">
        <v>4800</v>
      </c>
      <c r="G15" s="14">
        <f t="shared" si="0"/>
        <v>91200</v>
      </c>
      <c r="H15" s="36"/>
      <c r="I15" s="36"/>
      <c r="J15" s="29"/>
    </row>
    <row r="16" spans="1:10" ht="29" x14ac:dyDescent="0.35">
      <c r="A16" s="11">
        <v>9</v>
      </c>
      <c r="B16" s="25" t="s">
        <v>8</v>
      </c>
      <c r="C16" s="13" t="s">
        <v>32</v>
      </c>
      <c r="D16" s="19" t="s">
        <v>28</v>
      </c>
      <c r="E16" s="14">
        <v>200</v>
      </c>
      <c r="F16" s="14">
        <v>2400</v>
      </c>
      <c r="G16" s="14">
        <f t="shared" si="0"/>
        <v>480000</v>
      </c>
      <c r="H16" s="21">
        <v>480000</v>
      </c>
      <c r="I16" s="21">
        <v>480000</v>
      </c>
      <c r="J16" s="22" t="s">
        <v>29</v>
      </c>
    </row>
    <row r="17" spans="1:11" ht="28.5" customHeight="1" x14ac:dyDescent="0.35">
      <c r="A17" s="11">
        <v>10</v>
      </c>
      <c r="B17" s="25" t="s">
        <v>8</v>
      </c>
      <c r="C17" s="13" t="s">
        <v>33</v>
      </c>
      <c r="D17" s="25" t="s">
        <v>34</v>
      </c>
      <c r="E17" s="14">
        <v>49</v>
      </c>
      <c r="F17" s="14">
        <v>4307</v>
      </c>
      <c r="G17" s="14">
        <f t="shared" si="0"/>
        <v>211043</v>
      </c>
      <c r="H17" s="34">
        <v>428399</v>
      </c>
      <c r="I17" s="34">
        <v>428399</v>
      </c>
      <c r="J17" s="27" t="s">
        <v>35</v>
      </c>
    </row>
    <row r="18" spans="1:11" ht="28.5" customHeight="1" x14ac:dyDescent="0.35">
      <c r="A18" s="11">
        <v>11</v>
      </c>
      <c r="B18" s="25" t="s">
        <v>8</v>
      </c>
      <c r="C18" s="13" t="s">
        <v>36</v>
      </c>
      <c r="D18" s="25" t="s">
        <v>34</v>
      </c>
      <c r="E18" s="14">
        <v>33</v>
      </c>
      <c r="F18" s="14">
        <v>5428</v>
      </c>
      <c r="G18" s="14">
        <f t="shared" si="0"/>
        <v>179124</v>
      </c>
      <c r="H18" s="35"/>
      <c r="I18" s="35"/>
      <c r="J18" s="28"/>
    </row>
    <row r="19" spans="1:11" x14ac:dyDescent="0.35">
      <c r="A19" s="11">
        <v>12</v>
      </c>
      <c r="B19" s="25" t="s">
        <v>8</v>
      </c>
      <c r="C19" s="13" t="s">
        <v>37</v>
      </c>
      <c r="D19" s="25" t="s">
        <v>34</v>
      </c>
      <c r="E19" s="14">
        <v>6</v>
      </c>
      <c r="F19" s="14">
        <v>6372</v>
      </c>
      <c r="G19" s="23">
        <f t="shared" si="0"/>
        <v>38232</v>
      </c>
      <c r="H19" s="36"/>
      <c r="I19" s="36"/>
      <c r="J19" s="28"/>
    </row>
    <row r="20" spans="1:11" ht="18.5" x14ac:dyDescent="0.35">
      <c r="A20" s="11"/>
      <c r="B20" s="2"/>
      <c r="C20" s="2"/>
      <c r="D20" s="17" t="s">
        <v>12</v>
      </c>
      <c r="E20" s="17"/>
      <c r="F20" s="20"/>
      <c r="G20" s="17" t="s">
        <v>20</v>
      </c>
      <c r="H20" s="17">
        <f>H8+H13+H14+H15+H16+H17</f>
        <v>5036499</v>
      </c>
      <c r="I20" s="17">
        <f>H20</f>
        <v>5036499</v>
      </c>
      <c r="J20" s="29"/>
      <c r="K20" s="12"/>
    </row>
    <row r="21" spans="1:11" ht="18.5" x14ac:dyDescent="0.35">
      <c r="A21" s="30" t="s">
        <v>3</v>
      </c>
      <c r="B21" s="31"/>
      <c r="C21" s="31"/>
      <c r="D21" s="31"/>
      <c r="E21" s="31"/>
      <c r="F21" s="31"/>
      <c r="G21" s="31"/>
      <c r="H21" s="32"/>
      <c r="I21" s="17">
        <f>I20</f>
        <v>5036499</v>
      </c>
      <c r="J21" s="2"/>
      <c r="K21" s="12"/>
    </row>
    <row r="22" spans="1:11" ht="21" x14ac:dyDescent="0.5">
      <c r="A22" s="39" t="s">
        <v>22</v>
      </c>
      <c r="B22" s="39"/>
      <c r="C22" s="39"/>
      <c r="D22" s="6"/>
      <c r="F22" s="7"/>
      <c r="G22" s="7"/>
      <c r="H22" s="7"/>
      <c r="I22" s="24"/>
      <c r="J22" s="16" t="s">
        <v>9</v>
      </c>
      <c r="K22" s="12"/>
    </row>
    <row r="23" spans="1:11" ht="21" x14ac:dyDescent="0.5">
      <c r="A23" s="39" t="s">
        <v>21</v>
      </c>
      <c r="B23" s="39"/>
      <c r="C23" s="39"/>
      <c r="D23" s="6"/>
      <c r="F23" s="7"/>
      <c r="G23" s="7"/>
      <c r="H23" s="7"/>
      <c r="I23" s="24" t="s">
        <v>10</v>
      </c>
      <c r="J23" s="12"/>
      <c r="K23" s="12"/>
    </row>
    <row r="25" spans="1:11" ht="14.4" customHeight="1" x14ac:dyDescent="0.35">
      <c r="G25" s="33"/>
    </row>
    <row r="26" spans="1:11" x14ac:dyDescent="0.35">
      <c r="G26" s="33"/>
    </row>
  </sheetData>
  <mergeCells count="17">
    <mergeCell ref="A1:J1"/>
    <mergeCell ref="A2:J2"/>
    <mergeCell ref="A3:J3"/>
    <mergeCell ref="A23:C23"/>
    <mergeCell ref="A22:C22"/>
    <mergeCell ref="A5:J5"/>
    <mergeCell ref="J8:J12"/>
    <mergeCell ref="J14:J15"/>
    <mergeCell ref="J17:J20"/>
    <mergeCell ref="A21:H21"/>
    <mergeCell ref="G25:G26"/>
    <mergeCell ref="H8:H12"/>
    <mergeCell ref="I8:I12"/>
    <mergeCell ref="H14:H15"/>
    <mergeCell ref="I14:I15"/>
    <mergeCell ref="H17:H19"/>
    <mergeCell ref="I17:I19"/>
  </mergeCells>
  <phoneticPr fontId="8" type="noConversion"/>
  <pageMargins left="0.25" right="0.25" top="0.26" bottom="0.54" header="0.17" footer="0.17"/>
  <pageSetup paperSize="9" scale="80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D68E-EDAE-4FE7-A5BF-7C9652E2FADA}">
  <dimension ref="A2:B34"/>
  <sheetViews>
    <sheetView topLeftCell="A13" workbookViewId="0">
      <selection activeCell="G25" sqref="G25"/>
    </sheetView>
  </sheetViews>
  <sheetFormatPr defaultRowHeight="14.5" x14ac:dyDescent="0.35"/>
  <sheetData>
    <row r="2" spans="1:2" x14ac:dyDescent="0.35">
      <c r="A2">
        <v>2806812</v>
      </c>
      <c r="B2">
        <v>2806812</v>
      </c>
    </row>
    <row r="7" spans="1:2" x14ac:dyDescent="0.35">
      <c r="A7">
        <v>2034400</v>
      </c>
      <c r="B7">
        <v>2034400</v>
      </c>
    </row>
    <row r="9" spans="1:2" x14ac:dyDescent="0.35">
      <c r="A9">
        <v>564480</v>
      </c>
      <c r="B9">
        <v>564480</v>
      </c>
    </row>
    <row r="13" spans="1:2" x14ac:dyDescent="0.35">
      <c r="A13">
        <v>504000</v>
      </c>
      <c r="B13">
        <v>504000</v>
      </c>
    </row>
    <row r="14" spans="1:2" x14ac:dyDescent="0.35">
      <c r="A14">
        <v>2395400</v>
      </c>
      <c r="B14">
        <v>2395400</v>
      </c>
    </row>
    <row r="15" spans="1:2" x14ac:dyDescent="0.35">
      <c r="A15">
        <v>1462970</v>
      </c>
      <c r="B15">
        <v>1462970</v>
      </c>
    </row>
    <row r="17" spans="1:2" x14ac:dyDescent="0.35">
      <c r="A17">
        <v>110802</v>
      </c>
      <c r="B17">
        <v>110802</v>
      </c>
    </row>
    <row r="19" spans="1:2" x14ac:dyDescent="0.35">
      <c r="A19">
        <v>174144</v>
      </c>
      <c r="B19">
        <v>174144</v>
      </c>
    </row>
    <row r="20" spans="1:2" x14ac:dyDescent="0.35">
      <c r="A20">
        <v>539100</v>
      </c>
      <c r="B20">
        <v>539100</v>
      </c>
    </row>
    <row r="23" spans="1:2" x14ac:dyDescent="0.35">
      <c r="A23">
        <v>2432932</v>
      </c>
      <c r="B23">
        <v>2432392</v>
      </c>
    </row>
    <row r="28" spans="1:2" x14ac:dyDescent="0.35">
      <c r="A28">
        <v>191400</v>
      </c>
      <c r="B28">
        <v>191400</v>
      </c>
    </row>
    <row r="29" spans="1:2" x14ac:dyDescent="0.35">
      <c r="A29">
        <v>215040</v>
      </c>
      <c r="B29">
        <v>215040</v>
      </c>
    </row>
    <row r="30" spans="1:2" x14ac:dyDescent="0.35">
      <c r="A30">
        <v>188800</v>
      </c>
      <c r="B30">
        <v>188800</v>
      </c>
    </row>
    <row r="31" spans="1:2" x14ac:dyDescent="0.35">
      <c r="A31">
        <v>19800</v>
      </c>
      <c r="B31">
        <v>19800</v>
      </c>
    </row>
    <row r="32" spans="1:2" x14ac:dyDescent="0.35">
      <c r="A32">
        <v>29768</v>
      </c>
      <c r="B32">
        <v>29768</v>
      </c>
    </row>
    <row r="33" spans="1:2" x14ac:dyDescent="0.35">
      <c r="A33">
        <v>1550000</v>
      </c>
      <c r="B33">
        <v>1550000</v>
      </c>
    </row>
    <row r="34" spans="1:2" x14ac:dyDescent="0.35">
      <c r="A34">
        <f>SUM(A2:A33)</f>
        <v>15219848</v>
      </c>
      <c r="B34">
        <f>SUM(B2:B33)</f>
        <v>15219308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</dc:creator>
  <cp:lastModifiedBy>Ganesh Babu Muralimohan</cp:lastModifiedBy>
  <cp:lastPrinted>2025-02-07T10:23:39Z</cp:lastPrinted>
  <dcterms:created xsi:type="dcterms:W3CDTF">2021-02-28T08:28:31Z</dcterms:created>
  <dcterms:modified xsi:type="dcterms:W3CDTF">2026-02-07T13:12:04Z</dcterms:modified>
</cp:coreProperties>
</file>